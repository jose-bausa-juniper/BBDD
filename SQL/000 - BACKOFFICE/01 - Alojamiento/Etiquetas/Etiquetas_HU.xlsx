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unipercom-my.sharepoint.com/personal/jose_bausa_ejuniper_com/Documents/BBDD/SQL/000 - BACKOFFICE/01 - Alojamiento/Etiquetas/"/>
    </mc:Choice>
  </mc:AlternateContent>
  <xr:revisionPtr revIDLastSave="177" documentId="8_{6584C7EA-F680-4448-A3CD-664E7415BE37}" xr6:coauthVersionLast="47" xr6:coauthVersionMax="47" xr10:uidLastSave="{69D0335B-1641-42BC-AE7A-4A834DE15FB0}"/>
  <bookViews>
    <workbookView xWindow="28665" yWindow="-135" windowWidth="29070" windowHeight="15750" xr2:uid="{0F0CD99B-7196-481E-9C3E-31D20A969B82}"/>
  </bookViews>
  <sheets>
    <sheet name="Hoja2" sheetId="1" r:id="rId1"/>
  </sheets>
  <definedNames>
    <definedName name="_xlnm._FilterDatabase" localSheetId="0" hidden="1">Hoja2!$A$1:$B$2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E2" i="1" l="1"/>
  <c r="F2" i="1"/>
</calcChain>
</file>

<file path=xl/sharedStrings.xml><?xml version="1.0" encoding="utf-8"?>
<sst xmlns="http://schemas.openxmlformats.org/spreadsheetml/2006/main" count="24" uniqueCount="22">
  <si>
    <t>HBE</t>
  </si>
  <si>
    <t>CAMBIO</t>
  </si>
  <si>
    <t>PERFORMANCE</t>
  </si>
  <si>
    <t>TOP PRODUCER</t>
  </si>
  <si>
    <t>POTENCIAL</t>
  </si>
  <si>
    <t>STANDARD</t>
  </si>
  <si>
    <t>Columna1</t>
  </si>
  <si>
    <t>Id_Etiqueta</t>
  </si>
  <si>
    <t>Etiqueta</t>
  </si>
  <si>
    <t>POSICIONAMIENTO WEB</t>
  </si>
  <si>
    <t>DyG</t>
  </si>
  <si>
    <t>DyG Risk</t>
  </si>
  <si>
    <t>DyG Rappel</t>
  </si>
  <si>
    <t>DyG Availability</t>
  </si>
  <si>
    <t>CADENAS</t>
  </si>
  <si>
    <t>TTOO</t>
  </si>
  <si>
    <t>ACQUISITION</t>
  </si>
  <si>
    <t>PLAZA A PLAZA</t>
  </si>
  <si>
    <t>Columna2</t>
  </si>
  <si>
    <t>EAU_HBE</t>
  </si>
  <si>
    <t>id_AUC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</si>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</sst>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8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448E0-CA1D-44F4-AED4-C64C023B3F15}" name="Tabla1" displayName="Tabla1" ref="A1:F2" totalsRowShown="0">
  <autoFilter ref="A1:F2" xr:uid="{52B65DA9-AA84-4C39-8F2E-0FAFB18D0E6D}"/>
  <tableColumns count="6">
    <tableColumn id="3" xr3:uid="{AA3EAA6E-C82A-4F9B-9E00-7DA4185DBB85}" name="HBE"/>
    <tableColumn id="2" xr3:uid="{B7C16085-0CA8-4176-AF39-23439E532A4E}" name="CAMBIO"/>
    <tableColumn id="5" xr3:uid="{B0B55C58-3DAF-420D-BDC4-BAEDE8759E89}" name="Columna2" dataDxfId="7">
      <calculatedColumnFormula>VLOOKUP(Tabla1[[#This Row],[HBE]],Tabla4[],2,FALSE)</calculatedColumnFormula>
    </tableColumn>
    <tableColumn id="4" xr3:uid="{4AFD6E8F-B511-4B93-A6B3-455C6FD2BBC2}" name="Columna1" dataDxfId="5">
      <calculatedColumnFormula>VLOOKUP(Tabla1[[#This Row],[CAMBIO]],Tabla3[],2,FALSE)</calculatedColumnFormula>
    </tableColumn>
    <tableColumn id="1" xr3:uid="{2E9358A7-C2BA-49BD-BCEE-F18225E63221}" name="EAU_HBE" dataDxfId="8">
      <calculatedColumnFormula>_xlfn.CONCAT("UPDATE Tbl_Alojamiento SET id_EAU = ",Tabla1[[#This Row],[Columna1]]," WHERE Id_Alo = ",Tabla1[[#This Row],[HBE]])</calculatedColumnFormula>
    </tableColumn>
    <tableColumn id="6" xr3:uid="{5AA1679A-4205-4D11-BA26-72DA06575CC6}" name="Columna3" dataDxfId="6">
      <calculatedColumnFormula>_xlfn.CONCAT("INSERT INTO Tbl_AucNEau (id_AUC,id_EAU,UsrCre,FecCre,UsrMod,FecMod) VALUES(",Tabla1[[#This Row],[Columna2]],",",Tabla1[[#This Row],[Columna1]],",2609,GETDATE(),2609,GETDATE())")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5F47F-13F9-48DB-A7AF-F5DE7CAB18EC}" name="Tabla3" displayName="Tabla3" ref="N2:O15" totalsRowShown="0">
  <autoFilter ref="N2:O15" xr:uid="{7DB5F47F-13F9-48DB-A7AF-F5DE7CAB18EC}"/>
  <tableColumns count="2">
    <tableColumn id="3" xr3:uid="{0F1E3E52-FB01-4DD8-8389-6DC0F3FD7BCC}" name="Etiqueta"/>
    <tableColumn id="1" xr3:uid="{FFF30B83-4BF9-4AE6-A39F-C8A8FC883545}" name="Id_Etiqueta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F610B9-27B0-462E-9EBC-49DCFA81E605}" name="Tabla4" displayName="Tabla4" ref="I1:J2" totalsRowShown="0">
  <autoFilter ref="I1:J2" xr:uid="{CCF610B9-27B0-462E-9EBC-49DCFA81E605}"/>
  <sortState xmlns:xlrd2="http://schemas.microsoft.com/office/spreadsheetml/2017/richdata2" ref="I2:J2">
    <sortCondition ref="J1:J2"/>
  </sortState>
  <tableColumns count="2">
    <tableColumn id="1" xr3:uid="{A05A62E7-73D9-46B9-9B07-E4D437B3F359}" name="HBE"/>
    <tableColumn id="2" xr3:uid="{596C43CC-D1B3-4C8E-AE78-903AA50B87ED}" name="id_AUC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5DA9-AA84-4C39-8F2E-0FAFB18D0E6D}">
  <dimension ref="A1:O20"/>
  <sheetViews>
    <sheetView tabSelected="1" zoomScale="70" zoomScaleNormal="70" workbookViewId="0">
      <selection activeCell="F20" sqref="F20"/>
    </sheetView>
  </sheetViews>
  <sheetFormatPr baseColWidth="10" defaultRowHeight="13.2" x14ac:dyDescent="0.25"/>
  <cols>
    <col min="1" max="1" width="7.88671875" bestFit="1" customWidth="1"/>
    <col min="2" max="2" width="16.44140625" bestFit="1" customWidth="1"/>
    <col min="3" max="4" width="13.33203125" bestFit="1" customWidth="1"/>
    <col min="5" max="5" width="61.109375" bestFit="1" customWidth="1"/>
    <col min="6" max="6" width="121.21875" bestFit="1" customWidth="1"/>
    <col min="8" max="8" width="11.5546875" customWidth="1"/>
    <col min="9" max="9" width="7.88671875" bestFit="1" customWidth="1"/>
    <col min="10" max="10" width="10.77734375" bestFit="1" customWidth="1"/>
    <col min="11" max="11" width="15.21875" bestFit="1" customWidth="1"/>
    <col min="12" max="12" width="5" bestFit="1" customWidth="1"/>
    <col min="14" max="14" width="23.5546875" bestFit="1" customWidth="1"/>
    <col min="15" max="15" width="14.21875" bestFit="1" customWidth="1"/>
  </cols>
  <sheetData>
    <row r="1" spans="1:15" x14ac:dyDescent="0.25">
      <c r="A1" t="s">
        <v>0</v>
      </c>
      <c r="B1" t="s">
        <v>1</v>
      </c>
      <c r="C1" t="s">
        <v>18</v>
      </c>
      <c r="D1" t="s">
        <v>6</v>
      </c>
      <c r="E1" t="s">
        <v>19</v>
      </c>
      <c r="F1" t="s">
        <v>21</v>
      </c>
      <c r="I1" t="s">
        <v>0</v>
      </c>
      <c r="J1" t="s">
        <v>20</v>
      </c>
    </row>
    <row r="2" spans="1:15" x14ac:dyDescent="0.25">
      <c r="A2">
        <v>40</v>
      </c>
      <c r="B2" t="s">
        <v>2</v>
      </c>
      <c r="C2">
        <f>VLOOKUP(Tabla1[[#This Row],[HBE]],Tabla4[],2,FALSE)</f>
        <v>123</v>
      </c>
      <c r="D2">
        <f>VLOOKUP(Tabla1[[#This Row],[CAMBIO]],Tabla3[],2,FALSE)</f>
        <v>31</v>
      </c>
      <c r="E2" s="1" t="str">
        <f>_xlfn.CONCAT("UPDATE Tbl_Alojamiento SET id_EAU = ",Tabla1[[#This Row],[Columna1]]," WHERE Id_Alo = ",Tabla1[[#This Row],[HBE]])</f>
        <v>UPDATE Tbl_Alojamiento SET id_EAU = 31 WHERE Id_Alo = 40</v>
      </c>
      <c r="F2" t="str">
        <f>_xlfn.CONCAT("INSERT INTO Tbl_AucNEau (id_AUC,id_EAU,UsrCre,FecCre,UsrMod,FecMod) VALUES(",Tabla1[[#This Row],[Columna2]],",",Tabla1[[#This Row],[Columna1]],",2609,GETDATE(),2609,GETDATE())")</f>
        <v>INSERT INTO Tbl_AucNEau (id_AUC,id_EAU,UsrCre,FecCre,UsrMod,FecMod) VALUES(123,31,2609,GETDATE(),2609,GETDATE())</v>
      </c>
      <c r="I2">
        <v>40</v>
      </c>
      <c r="J2">
        <v>123</v>
      </c>
      <c r="N2" t="s">
        <v>8</v>
      </c>
      <c r="O2" t="s">
        <v>7</v>
      </c>
    </row>
    <row r="3" spans="1:15" x14ac:dyDescent="0.25">
      <c r="N3" t="s">
        <v>9</v>
      </c>
      <c r="O3">
        <v>25</v>
      </c>
    </row>
    <row r="4" spans="1:15" x14ac:dyDescent="0.25">
      <c r="N4" t="s">
        <v>10</v>
      </c>
      <c r="O4">
        <v>15</v>
      </c>
    </row>
    <row r="5" spans="1:15" x14ac:dyDescent="0.25">
      <c r="N5" t="s">
        <v>11</v>
      </c>
      <c r="O5">
        <v>28</v>
      </c>
    </row>
    <row r="6" spans="1:15" x14ac:dyDescent="0.25">
      <c r="N6" t="s">
        <v>12</v>
      </c>
      <c r="O6">
        <v>30</v>
      </c>
    </row>
    <row r="7" spans="1:15" x14ac:dyDescent="0.25">
      <c r="N7" t="s">
        <v>13</v>
      </c>
      <c r="O7">
        <v>27</v>
      </c>
    </row>
    <row r="8" spans="1:15" x14ac:dyDescent="0.25">
      <c r="N8" t="s">
        <v>3</v>
      </c>
      <c r="O8">
        <v>20</v>
      </c>
    </row>
    <row r="9" spans="1:15" x14ac:dyDescent="0.25">
      <c r="N9" t="s">
        <v>4</v>
      </c>
      <c r="O9">
        <v>21</v>
      </c>
    </row>
    <row r="10" spans="1:15" x14ac:dyDescent="0.25">
      <c r="N10" t="s">
        <v>14</v>
      </c>
      <c r="O10">
        <v>22</v>
      </c>
    </row>
    <row r="11" spans="1:15" x14ac:dyDescent="0.25">
      <c r="N11" t="s">
        <v>5</v>
      </c>
      <c r="O11">
        <v>24</v>
      </c>
    </row>
    <row r="12" spans="1:15" x14ac:dyDescent="0.25">
      <c r="N12" t="s">
        <v>15</v>
      </c>
      <c r="O12">
        <v>13</v>
      </c>
    </row>
    <row r="13" spans="1:15" x14ac:dyDescent="0.25">
      <c r="N13" t="s">
        <v>16</v>
      </c>
      <c r="O13">
        <v>26</v>
      </c>
    </row>
    <row r="14" spans="1:15" x14ac:dyDescent="0.25">
      <c r="N14" t="s">
        <v>17</v>
      </c>
      <c r="O14">
        <v>29</v>
      </c>
    </row>
    <row r="15" spans="1:15" x14ac:dyDescent="0.25">
      <c r="N15" t="s">
        <v>2</v>
      </c>
      <c r="O15">
        <v>31</v>
      </c>
    </row>
    <row r="20" spans="6:6" x14ac:dyDescent="0.25">
      <c r="F20" s="2"/>
    </row>
  </sheetData>
  <phoneticPr fontId="1" type="noConversion"/>
  <conditionalFormatting sqref="A3:A1048576 A1">
    <cfRule type="duplicateValues" dxfId="4" priority="31"/>
  </conditionalFormatting>
  <conditionalFormatting sqref="A2">
    <cfRule type="duplicateValues" dxfId="3" priority="35"/>
  </conditionalFormatting>
  <conditionalFormatting sqref="I2">
    <cfRule type="duplicateValues" dxfId="2" priority="36"/>
  </conditionalFormatting>
  <conditionalFormatting sqref="J2">
    <cfRule type="duplicateValues" dxfId="1" priority="37"/>
    <cfRule type="duplicateValues" dxfId="0" priority="38"/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a55c9a68-e1ec-45a2-ad14-ee22e0eeccc1}" enabled="0" method="" siteId="{a55c9a68-e1ec-45a2-ad14-ee22e0eecc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 Yi Wung</dc:creator>
  <cp:lastModifiedBy>José Bausá García</cp:lastModifiedBy>
  <dcterms:created xsi:type="dcterms:W3CDTF">2025-08-01T10:45:42Z</dcterms:created>
  <dcterms:modified xsi:type="dcterms:W3CDTF">2026-09-08T15:24:40Z</dcterms:modified>
</cp:coreProperties>
</file>